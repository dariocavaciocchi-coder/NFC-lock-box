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io\Documents\NFC-lock-box\BOM\"/>
    </mc:Choice>
  </mc:AlternateContent>
  <xr:revisionPtr revIDLastSave="0" documentId="13_ncr:1_{D9A90232-2AE3-49EB-BEDE-AA924D865170}" xr6:coauthVersionLast="47" xr6:coauthVersionMax="47" xr10:uidLastSave="{00000000-0000-0000-0000-000000000000}"/>
  <bookViews>
    <workbookView xWindow="-110" yWindow="-110" windowWidth="19420" windowHeight="10300" xr2:uid="{684F5010-FC7E-4A28-91AC-5FD8EFA55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F14" i="1"/>
  <c r="F11" i="1"/>
  <c r="F13" i="1"/>
  <c r="F12" i="1"/>
  <c r="B15" i="1"/>
  <c r="F9" i="1"/>
  <c r="F10" i="1"/>
  <c r="F8" i="1"/>
  <c r="F3" i="1"/>
  <c r="F4" i="1"/>
  <c r="F5" i="1"/>
  <c r="F6" i="1"/>
  <c r="F7" i="1"/>
  <c r="F2" i="1"/>
  <c r="F15" i="1" l="1"/>
</calcChain>
</file>

<file path=xl/sharedStrings.xml><?xml version="1.0" encoding="utf-8"?>
<sst xmlns="http://schemas.openxmlformats.org/spreadsheetml/2006/main" count="48" uniqueCount="37">
  <si>
    <t>Item</t>
  </si>
  <si>
    <t>Quantity</t>
  </si>
  <si>
    <t>URL</t>
  </si>
  <si>
    <t>Total</t>
  </si>
  <si>
    <t>Vendor</t>
  </si>
  <si>
    <t>AliExpress</t>
  </si>
  <si>
    <r>
      <t>SG90 360</t>
    </r>
    <r>
      <rPr>
        <sz val="11"/>
        <color theme="1"/>
        <rFont val="Aptos Narrow"/>
        <family val="2"/>
      </rPr>
      <t>° servo motor</t>
    </r>
    <r>
      <rPr>
        <sz val="11"/>
        <color theme="1"/>
        <rFont val="Aptos Narrow"/>
        <family val="2"/>
        <scheme val="minor"/>
      </rPr>
      <t xml:space="preserve"> 3pcs</t>
    </r>
  </si>
  <si>
    <t>Cost ($)</t>
  </si>
  <si>
    <t>https://www.aliexpress.com/item/1005005310063582.html?spm=a2g0o.productlist.main.8.4d1b1e4eRxYDnA&amp;aem_p4p_detail=202603111040045510727509722250000072842&amp;algo_pvid=e656422d-4ddc-43a8-a640-3848b0b5fec7&amp;algo_exp_id=e656422d-4ddc-43a8-a640-3848b0b5fec7-7&amp;pdp_ext_f=%7B%22order%22%3A%22943%22%2C%22eval%22%3A%221%22%2C%22fromPage%22%3A%22search%22%7D&amp;pdp_npi=6%40dis%21GBP%213.53%210.76%21%21%2131.60%216.78%21%40210385db17732508043394221ed993%2112000032581130170%21sea%21UK%210%21ABX%211%210%21n_tag%3A-29910%3Bd%3Adaea39cf%3Bm03_new_user%3A-29895%3BpisId%3A5000000197842857&amp;curPageLogUid=5EMKYWtYPEn4&amp;utparam-url=scene%3Asearch%7Cquery_from%3A%7Cx_object_id%3A1005005310063582%7C_p_origin_prod%3A&amp;search_p4p_id=202603111040045510727509722250000072842_2</t>
  </si>
  <si>
    <t>RC522 module</t>
  </si>
  <si>
    <t>https://www.aliexpress.com/item/1005006441061112.html?spm=a2g0o.productlist.main.1.41122432CTmGtw&amp;algo_pvid=5cfec7e4-b6d9-498d-b132-9e65cfa8de13&amp;algo_exp_id=5cfec7e4-b6d9-498d-b132-9e65cfa8de13-0&amp;pdp_ext_f=%7B%22order%22%3A%224975%22%2C%22spu_best_type%22%3A%22price%22%2C%22eval%22%3A%221%22%2C%22fromPage%22%3A%22search%22%7D&amp;pdp_npi=6%40dis%21USD%210.51%210.51%21%21%213.49%213.49%21%40211b653717732512564262609e4ab9%2112000037176400098%21sea%21UK%210%21ABX%211%210%21n_tag%3A-29910%3Bd%3Adaea39cf%3Bm03_new_user%3A-29895&amp;curPageLogUid=9xwa73kRGVRp&amp;utparam-url=scene%3Asearch%7Cquery_from%3A%7Cx_object_id%3A1005006441061112%7C_p_origin_prod%3A</t>
  </si>
  <si>
    <t>5MM Light Emitting Diodes Electronics Kit Box F3 F5 LED Diode Assorted Kit</t>
  </si>
  <si>
    <t>https://www.aliexpress.com/item/1005004543292837.html?spm=a2g0o.productlist.main.2.645836f3Dwgfns&amp;algo_pvid=740bda1b-9aa8-4ed4-8cb8-8a988b9652ee&amp;algo_exp_id=740bda1b-9aa8-4ed4-8cb8-8a988b9652ee-1&amp;pdp_ext_f=%7B%22order%22%3A%227995%22%2C%22spu_best_type%22%3A%22price%22%2C%22eval%22%3A%221%22%2C%22fromPage%22%3A%22search%22%7D&amp;pdp_npi=6%40dis%21USD%211.58%210.99%21%21%2110.78%216.75%21%402103849717732515695267315ebcf1%2112000029546625275%21sea%21UK%210%21ABX%211%210%21n_tag%3A-29910%3Bd%3Adaea39cf%3Bm03_new_user%3A-29895%3BpisId%3A5000000197842856&amp;curPageLogUid=vBeAjtTDarnR&amp;utparam-url=scene%3Asearch%7Cquery_from%3A%7Cx_object_id%3A1005004543292837%7C_p_origin_prod%3A</t>
  </si>
  <si>
    <t>Assorted Electrolytic capacitor kit 120pcs</t>
  </si>
  <si>
    <t>https://www.aliexpress.com/item/1005005661484224.html?spm=a2g0o.productlist.main.10.1688dcsUdcsUbV&amp;algo_pvid=f997c25f-65d3-4e2a-919d-9dad16c61351&amp;algo_exp_id=f997c25f-65d3-4e2a-919d-9dad16c61351-9&amp;pdp_ext_f=%7B%22order%22%3A%221494%22%2C%22eval%22%3A%221%22%2C%22fromPage%22%3A%22search%22%7D&amp;pdp_npi=6%40dis%21USD%214.17%210.99%21%21%2128.45%216.73%21%40210390c917732519536912558e70af%2112000033932001128%21sea%21UK%210%21ABX%211%210%21n_tag%3A-29910%3Bd%3Adaea39cf%3Bm03_new_user%3A-29895%3BpisId%3A5000000197842857&amp;curPageLogUid=ZUkhXYdLh8eC&amp;utparam-url=scene%3Asearch%7Cquery_from%3A%7Cx_object_id%3A1005005661484224%7C_p_origin_prod%3A</t>
  </si>
  <si>
    <t>M3 Headset insert assorted kit</t>
  </si>
  <si>
    <t>https://www.aliexpress.com/item/1005006472962973.html?spm=a2g0o.productlist.main.3.7892541abPUurV&amp;algo_pvid=f27cbf63-a797-47fc-834c-397c59b6d60d&amp;algo_exp_id=f27cbf63-a797-47fc-834c-397c59b6d60d-2&amp;pdp_ext_f=%7B%22order%22%3A%2218787%22%2C%22spu_best_type%22%3A%22price%22%2C%22eval%22%3A%221%22%2C%22fromPage%22%3A%22search%22%7D&amp;pdp_npi=6%40dis%21USD%214.96%210.99%21%21%2133.86%216.74%21%40211b813f17732524995403394e7f13%2112000037324316041%21sea%21UK%210%21ABX%211%210%21n_tag%3A-29910%3Bd%3Adaea39cf%3Bm03_new_user%3A-29895%3BpisId%3A5000000197842857&amp;curPageLogUid=ni6CXoPvNdtc&amp;utparam-url=scene%3Asearch%7Cquery_from%3A%7Cx_object_id%3A1005006472962973%7C_p_origin_prod%3A</t>
  </si>
  <si>
    <t>M3 spacer 4mm H 10pcs</t>
  </si>
  <si>
    <t>https://www.aliexpress.com/item/1005006915134966.html?spm=a2g0o.productlist.main.6.47b034a3MkgpVd&amp;algo_pvid=90fd86a3-aeb8-43a1-a9f4-67dfe6595ed0&amp;algo_exp_id=90fd86a3-aeb8-43a1-a9f4-67dfe6595ed0-5&amp;pdp_ext_f=%7B%22order%22%3A%228357%22%2C%22spu_best_type%22%3A%22price%22%2C%22eval%22%3A%221%22%2C%22fromPage%22%3A%22search%22%7D&amp;pdp_npi=6%40dis%21USD%211.20%210.99%21%21%211.20%210.99%21%40211b80e117732527070641264e4687%2112000038714835252%21sea%21UK%210%21ABX%211%210%21n_tag%3A-29910%3Bd%3Adaea39cf%3Bm03_new_user%3A-29895%3BpisId%3A5000000197842857&amp;curPageLogUid=MaqOvrXhgtMa&amp;utparam-url=scene%3Asearch%7Cquery_from%3A%7Cx_object_id%3A1005006915134966%7C_p_origin_prod%3A</t>
  </si>
  <si>
    <t>TOTAL</t>
  </si>
  <si>
    <t>N/A</t>
  </si>
  <si>
    <t>PCB</t>
  </si>
  <si>
    <t>JLCPCB</t>
  </si>
  <si>
    <t>20 Pcs 10 Pairs 40 Pin 1x40 Single Row Male And Female 2.54 Breakable Pin Header PCB Connector Strip</t>
  </si>
  <si>
    <t>https://www.aliexpress.com/item/1005008559565009.html?spm=a2g0o.productlist.main.11.4132665e5U6r0V&amp;algo_pvid=4f56527c-4faa-43bb-b4c7-b9af9bc3d9eb&amp;algo_exp_id=4f56527c-4faa-43bb-b4c7-b9af9bc3d9eb-10&amp;pdp_ext_f=%7B%22order%22%3A%22847%22%2C%22eval%22%3A%221%22%2C%22fromPage%22%3A%22search%22%7D&amp;pdp_npi=6%40dis%21USD%212.37%210.99%21%21%2116.18%216.74%21%40211b81a317733116331474815e2830%2112000045717063746%21sea%21UK%210%21ABX%211%210%21n_tag%3A-29910%3Bd%3Adaea39cf%3Bm03_new_user%3A-29895%3BpisId%3A5000000197842857&amp;curPageLogUid=BqjJbkfmWVMf&amp;utparam-url=scene%3Asearch%7Cquery_from%3A%7Cx_object_id%3A1005008559565009%7C_p_origin_prod%3A</t>
  </si>
  <si>
    <t>XIAO RP2040</t>
  </si>
  <si>
    <t>The Pi hut</t>
  </si>
  <si>
    <t>https://thepihut.com/products/seeed-xiao-rp2040?srsltid=AfmBOorBDf4Dll7L19Yn1Iy_7KZ4FYYfjCTMb0oi2A0CxQTC_q837AwU</t>
  </si>
  <si>
    <t>https://www.aliexpress.com/item/1005003923602966.html?spm=a2g0o.productlist.main.19.6e067cfcAdwJyh&amp;algo_pvid=4669b54b-7f9e-4623-ba2a-51509d4abccd&amp;algo_exp_id=4669b54b-7f9e-4623-ba2a-51509d4abccd-18&amp;pdp_ext_f=%7B%22order%22%3A%225751%22%2C%22spu_best_type%22%3A%22price%22%2C%22eval%22%3A%221%22%2C%22fromPage%22%3A%22search%22%7D&amp;pdp_npi=6%40dis%21USD%211.70%210.99%21%21%211.70%210.99%21%40211b617b17733132764046771e8437%2112000028663933081%21sea%21UK%210%21ABX%211%210%21n_tag%3A-29910%3Bd%3Adaea39cf%3Bm03_new_user%3A-29895%3BpisId%3A5000000197842855&amp;curPageLogUid=jXFSVmhfiauj&amp;utparam-url=scene%3Asearch%7Cquery_from%3A%7Cx_object_id%3A1005003923602966%7C_p_origin_prod%3A</t>
  </si>
  <si>
    <t>100pcs 100nF cermacic capacitors</t>
  </si>
  <si>
    <t>100pcs 330ohm Resistors</t>
  </si>
  <si>
    <t>https://www.aliexpress.com/item/1005002290441861.html?spm=a2g0o.productlist.main.13.623e4f40R3NvHD&amp;algo_pvid=5c38a774-44f4-48a2-988c-397693bf872d&amp;algo_exp_id=5c38a774-44f4-48a2-988c-397693bf872d-12&amp;pdp_ext_f=%7B%22order%22%3A%223239%22%2C%22eval%22%3A%221%22%2C%22fromPage%22%3A%22search%22%7D&amp;pdp_npi=6%40dis%21USD%211.14%211.14%21%21%211.14%211.14%21%402103867617734185527031235e650e%2112000020462004307%21sea%21UK%217410481133%21ABX%211%210%21n_tag%3A-29910%3Bd%3Adaea39cf%3Bm03_new_user%3A-29895&amp;curPageLogUid=19AxGaqwAapf&amp;utparam-url=scene%3Asearch%7Cquery_from%3A%7Cx_object_id%3A1005002290441861%7C_p_origin_prod%3A</t>
  </si>
  <si>
    <t>https://www.amazon.co.uk/KOXXIAMOQ-Washers-Mechanical-Fastener-Assortment/dp/B0CJ6L82T8/ref=sr_1_2_sspa?dib=eyJ2IjoiMSJ9.ucN2yfw8AxpU10liSn1E5ha7CnNAAN_61P8zIPbQ5822wf7rK1Pf6CFj68onp6G59rKN3DhKhqHX9UfUysdJgMLjwZnN5N9Inix3Y1H-xFpZqz9pQaTbLfW0XqLy-nLs0cUyHRXxZKfOY7nAO3dZ232LCX-PSN9RWnbPy_1GiO2nQ5nuVWOUjfzZy17tW-KpwtJK_nC5cEgRzWqObr2FKAUjRM_ah8K_E1_TUQBm2cnbadr0PUWihurGs1K3A6JwVNQDXUnRJ-KKOJ3drept8SRF7jWDA2NNQhgBSIXSwlM.DbFv-CruIhAvqh7ybhqEzX--jqCwSSb3NaOwi_LFZfE&amp;dib_tag=se&amp;keywords=m3+screws&amp;qid=1771347594&amp;sr=8-2-spons&amp;aref=DAYB8YyfwM&amp;sp_csd=d2lkZ2V0TmFtZT1zcF9hdGY&amp;psc=1</t>
  </si>
  <si>
    <t>Amazon</t>
  </si>
  <si>
    <t>600 Pcs M3 Bolts and Nuts Set</t>
  </si>
  <si>
    <t>Shipping total</t>
  </si>
  <si>
    <t>https://cart.jlcpcb.com/quote?spm=Jlcpcb.Homepage.1006&amp;spm=Jlcpcb.Homepage.1006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</si>
</sst>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rgb="FF0F1111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vertical="center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EB477-A167-46E1-B5F4-8A4633BEF15C}" name="Table1" displayName="Table1" ref="A1:F15" totalsRowShown="0">
  <autoFilter ref="A1:F15" xr:uid="{3D8EB477-A167-46E1-B5F4-8A4633BEF15C}"/>
  <tableColumns count="6">
    <tableColumn id="1" xr3:uid="{508D5C5B-F681-4E6E-9F07-CDB797447FE0}" name="Item"/>
    <tableColumn id="2" xr3:uid="{570A6556-6E5E-4821-9C3F-7CFC48C31617}" name="Quantity"/>
    <tableColumn id="3" xr3:uid="{7352D5A8-72F9-4077-9DBC-539DC7F6C171}" name="Cost ($)"/>
    <tableColumn id="4" xr3:uid="{4D9EBEAC-FE23-4547-954A-2AC988A45C8A}" name="URL"/>
    <tableColumn id="5" xr3:uid="{5D747165-2A1A-4960-B5BB-F6CD73942165}" name="Vendor"/>
    <tableColumn id="6" xr3:uid="{ED653C31-77D9-4D33-9732-5A17302243F4}" name="Total">
      <calculatedColumnFormula>(B2*C2)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thepihut.com/products/seeed-xiao-rp2040?srsltid=AfmBOorBDf4Dll7L19Yn1Iy_7KZ4FYYfjCTMb0oi2A0CxQTC_q837A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18BB-E7CD-4DD4-B490-F8DF8E1EEE64}">
  <dimension ref="A1:F15"/>
  <sheetViews>
    <sheetView tabSelected="1" workbookViewId="0">
      <selection activeCell="D17" sqref="D17"/>
    </sheetView>
  </sheetViews>
  <sheetFormatPr defaultRowHeight="14.5" x14ac:dyDescent="0.35"/>
  <cols>
    <col min="1" max="1" width="61.1796875" customWidth="1"/>
    <col min="2" max="2" width="10" customWidth="1"/>
    <col min="3" max="3" width="12.36328125" customWidth="1"/>
    <col min="4" max="4" width="20.54296875" customWidth="1"/>
    <col min="5" max="5" width="13.36328125" customWidth="1"/>
    <col min="6" max="6" width="10.36328125" customWidth="1"/>
  </cols>
  <sheetData>
    <row r="1" spans="1:6" x14ac:dyDescent="0.35">
      <c r="A1" t="s">
        <v>0</v>
      </c>
      <c r="B1" t="s">
        <v>1</v>
      </c>
      <c r="C1" t="s">
        <v>7</v>
      </c>
      <c r="D1" t="s">
        <v>2</v>
      </c>
      <c r="E1" t="s">
        <v>4</v>
      </c>
      <c r="F1" t="s">
        <v>3</v>
      </c>
    </row>
    <row r="2" spans="1:6" x14ac:dyDescent="0.35">
      <c r="A2" t="s">
        <v>6</v>
      </c>
      <c r="B2">
        <v>1</v>
      </c>
      <c r="C2">
        <v>4.62</v>
      </c>
      <c r="D2" t="s">
        <v>8</v>
      </c>
      <c r="E2" t="s">
        <v>5</v>
      </c>
      <c r="F2">
        <f>(B2*C2)</f>
        <v>4.62</v>
      </c>
    </row>
    <row r="3" spans="1:6" x14ac:dyDescent="0.35">
      <c r="A3" t="s">
        <v>9</v>
      </c>
      <c r="B3">
        <v>1</v>
      </c>
      <c r="C3">
        <v>1.29</v>
      </c>
      <c r="D3" t="s">
        <v>10</v>
      </c>
      <c r="E3" t="s">
        <v>5</v>
      </c>
      <c r="F3">
        <f t="shared" ref="F3:F8" si="0">(B3*C3)</f>
        <v>1.29</v>
      </c>
    </row>
    <row r="4" spans="1:6" x14ac:dyDescent="0.35">
      <c r="A4" t="s">
        <v>11</v>
      </c>
      <c r="B4">
        <v>1</v>
      </c>
      <c r="C4">
        <v>2.88</v>
      </c>
      <c r="D4" t="s">
        <v>12</v>
      </c>
      <c r="E4" t="s">
        <v>5</v>
      </c>
      <c r="F4">
        <f t="shared" si="0"/>
        <v>2.88</v>
      </c>
    </row>
    <row r="5" spans="1:6" x14ac:dyDescent="0.35">
      <c r="A5" t="s">
        <v>13</v>
      </c>
      <c r="B5">
        <v>1</v>
      </c>
      <c r="C5">
        <v>4.16</v>
      </c>
      <c r="D5" s="1" t="s">
        <v>14</v>
      </c>
      <c r="E5" t="s">
        <v>5</v>
      </c>
      <c r="F5">
        <f t="shared" si="0"/>
        <v>4.16</v>
      </c>
    </row>
    <row r="6" spans="1:6" x14ac:dyDescent="0.35">
      <c r="A6" t="s">
        <v>15</v>
      </c>
      <c r="B6">
        <v>1</v>
      </c>
      <c r="C6">
        <v>4.9400000000000004</v>
      </c>
      <c r="D6" t="s">
        <v>16</v>
      </c>
      <c r="E6" t="s">
        <v>5</v>
      </c>
      <c r="F6">
        <f t="shared" si="0"/>
        <v>4.9400000000000004</v>
      </c>
    </row>
    <row r="7" spans="1:6" x14ac:dyDescent="0.35">
      <c r="A7" t="s">
        <v>17</v>
      </c>
      <c r="B7">
        <v>1</v>
      </c>
      <c r="C7">
        <v>1.1499999999999999</v>
      </c>
      <c r="D7" t="s">
        <v>18</v>
      </c>
      <c r="E7" t="s">
        <v>5</v>
      </c>
      <c r="F7">
        <f t="shared" si="0"/>
        <v>1.1499999999999999</v>
      </c>
    </row>
    <row r="8" spans="1:6" x14ac:dyDescent="0.35">
      <c r="A8" s="1" t="s">
        <v>23</v>
      </c>
      <c r="B8">
        <v>1</v>
      </c>
      <c r="C8">
        <v>2.36</v>
      </c>
      <c r="D8" t="s">
        <v>24</v>
      </c>
      <c r="E8" t="s">
        <v>5</v>
      </c>
      <c r="F8">
        <f t="shared" si="0"/>
        <v>2.36</v>
      </c>
    </row>
    <row r="9" spans="1:6" x14ac:dyDescent="0.35">
      <c r="A9" t="s">
        <v>30</v>
      </c>
      <c r="B9">
        <v>1</v>
      </c>
      <c r="C9">
        <v>1.91</v>
      </c>
      <c r="D9" t="s">
        <v>28</v>
      </c>
      <c r="E9" t="s">
        <v>5</v>
      </c>
      <c r="F9">
        <f t="shared" ref="F9:F11" si="1">(B9*C9)</f>
        <v>1.91</v>
      </c>
    </row>
    <row r="10" spans="1:6" x14ac:dyDescent="0.35">
      <c r="A10" t="s">
        <v>29</v>
      </c>
      <c r="B10">
        <v>1</v>
      </c>
      <c r="C10">
        <v>1.48</v>
      </c>
      <c r="D10" t="s">
        <v>31</v>
      </c>
      <c r="E10" t="s">
        <v>5</v>
      </c>
      <c r="F10">
        <f t="shared" si="1"/>
        <v>1.48</v>
      </c>
    </row>
    <row r="11" spans="1:6" x14ac:dyDescent="0.35">
      <c r="A11" s="3" t="s">
        <v>34</v>
      </c>
      <c r="B11">
        <v>1</v>
      </c>
      <c r="C11">
        <v>8.7100000000000009</v>
      </c>
      <c r="D11" t="s">
        <v>32</v>
      </c>
      <c r="E11" t="s">
        <v>33</v>
      </c>
      <c r="F11">
        <f t="shared" si="1"/>
        <v>8.7100000000000009</v>
      </c>
    </row>
    <row r="12" spans="1:6" x14ac:dyDescent="0.35">
      <c r="A12" t="s">
        <v>25</v>
      </c>
      <c r="B12">
        <v>1</v>
      </c>
      <c r="C12">
        <v>5.23</v>
      </c>
      <c r="D12" s="4" t="s">
        <v>27</v>
      </c>
      <c r="E12" t="s">
        <v>26</v>
      </c>
      <c r="F12">
        <f>(B12*C12)</f>
        <v>5.23</v>
      </c>
    </row>
    <row r="13" spans="1:6" x14ac:dyDescent="0.35">
      <c r="A13" t="s">
        <v>21</v>
      </c>
      <c r="B13">
        <v>1</v>
      </c>
      <c r="C13">
        <v>3.1</v>
      </c>
      <c r="D13" t="s">
        <v>36</v>
      </c>
      <c r="E13" t="s">
        <v>22</v>
      </c>
      <c r="F13">
        <f>(B13*C13)</f>
        <v>3.1</v>
      </c>
    </row>
    <row r="14" spans="1:6" x14ac:dyDescent="0.35">
      <c r="A14" t="s">
        <v>35</v>
      </c>
      <c r="B14">
        <v>1</v>
      </c>
      <c r="C14">
        <v>6.14</v>
      </c>
      <c r="D14" t="s">
        <v>20</v>
      </c>
      <c r="E14" t="s">
        <v>20</v>
      </c>
      <c r="F14">
        <f>(B14*C14)</f>
        <v>6.14</v>
      </c>
    </row>
    <row r="15" spans="1:6" x14ac:dyDescent="0.35">
      <c r="A15" s="2" t="s">
        <v>19</v>
      </c>
      <c r="B15">
        <f>SUM(B2:B10)</f>
        <v>9</v>
      </c>
      <c r="C15">
        <f>SUM(C2:C14)</f>
        <v>47.970000000000006</v>
      </c>
      <c r="D15" t="s">
        <v>20</v>
      </c>
      <c r="E15" t="s">
        <v>20</v>
      </c>
      <c r="F15">
        <f>SUM(F2:F14)</f>
        <v>47.970000000000006</v>
      </c>
    </row>
  </sheetData>
  <hyperlinks>
    <hyperlink ref="D12" r:id="rId1" xr:uid="{3290015A-68D6-4276-ABFE-BA112F9CD69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Cavaciocchi</dc:creator>
  <cp:lastModifiedBy>Dario Cavaciocchi</cp:lastModifiedBy>
  <dcterms:created xsi:type="dcterms:W3CDTF">2026-03-11T17:36:57Z</dcterms:created>
  <dcterms:modified xsi:type="dcterms:W3CDTF">2026-03-15T11:31:21Z</dcterms:modified>
</cp:coreProperties>
</file>